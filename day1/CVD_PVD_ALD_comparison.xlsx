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박막증착공정비교" sheetId="1" state="visible" r:id="rId3"/>
  </sheets>
  <definedNames>
    <definedName function="false" hidden="false" localSheetId="0" name="_xlnm.Print_Area" vbProcedure="false">박막증착공정비교!$B$2:$F$43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<sst xmlns="http://schemas.openxmlformats.org/spreadsheetml/2006/main" count="105" uniqueCount="95">
  <si>
    <t xml:space="preserve">부산대학교 반도체공학과</t>
  </si>
  <si>
    <t xml:space="preserve">Department of Semiconductor Engineering, Pusan National University</t>
  </si>
  <si>
    <r>
      <rPr>
        <b val="true"/>
        <sz val="14"/>
        <color rgb="FF1F3864"/>
        <rFont val="Noto Sans CJK SC"/>
        <family val="2"/>
      </rPr>
      <t xml:space="preserve">박막 증착 공정 비교표 — </t>
    </r>
    <r>
      <rPr>
        <b val="true"/>
        <sz val="14"/>
        <color rgb="FF1F3864"/>
        <rFont val="Arial"/>
        <family val="0"/>
        <charset val="1"/>
      </rPr>
      <t xml:space="preserve">CVD · PVD · ALD</t>
    </r>
  </si>
  <si>
    <r>
      <rPr>
        <i val="true"/>
        <sz val="9"/>
        <color rgb="FF595959"/>
        <rFont val="Arial"/>
        <family val="0"/>
        <charset val="1"/>
      </rPr>
      <t xml:space="preserve">Thin Film Deposition Process Comparison  |  </t>
    </r>
    <r>
      <rPr>
        <i val="true"/>
        <sz val="9"/>
        <color rgb="FF595959"/>
        <rFont val="Noto Sans CJK SC"/>
        <family val="2"/>
      </rPr>
      <t xml:space="preserve">작성일</t>
    </r>
    <r>
      <rPr>
        <i val="true"/>
        <sz val="9"/>
        <color rgb="FF595959"/>
        <rFont val="Arial"/>
        <family val="0"/>
        <charset val="1"/>
      </rPr>
      <t xml:space="preserve">: 2026-04-26</t>
    </r>
  </si>
  <si>
    <r>
      <rPr>
        <b val="true"/>
        <sz val="12"/>
        <color rgb="FFFFFFFF"/>
        <rFont val="Arial"/>
        <family val="0"/>
        <charset val="1"/>
      </rPr>
      <t xml:space="preserve">📊  Section 1.  </t>
    </r>
    <r>
      <rPr>
        <b val="true"/>
        <sz val="12"/>
        <color rgb="FFFFFFFF"/>
        <rFont val="Noto Sans CJK SC"/>
        <family val="2"/>
      </rPr>
      <t xml:space="preserve">공정 특성 비교</t>
    </r>
  </si>
  <si>
    <r>
      <rPr>
        <b val="true"/>
        <sz val="11"/>
        <color rgb="FFFFFFFF"/>
        <rFont val="Noto Sans CJK SC"/>
        <family val="2"/>
      </rPr>
      <t xml:space="preserve">항목 </t>
    </r>
    <r>
      <rPr>
        <b val="true"/>
        <sz val="11"/>
        <color rgb="FFFFFFFF"/>
        <rFont val="Arial"/>
        <family val="0"/>
        <charset val="1"/>
      </rPr>
      <t xml:space="preserve">(Item)</t>
    </r>
  </si>
  <si>
    <t xml:space="preserve">CVD</t>
  </si>
  <si>
    <t xml:space="preserve">PVD</t>
  </si>
  <si>
    <t xml:space="preserve">ALD</t>
  </si>
  <si>
    <r>
      <rPr>
        <b val="true"/>
        <sz val="11"/>
        <color rgb="FFFFFFFF"/>
        <rFont val="Noto Sans CJK SC"/>
        <family val="2"/>
      </rPr>
      <t xml:space="preserve">비고 </t>
    </r>
    <r>
      <rPr>
        <b val="true"/>
        <sz val="11"/>
        <color rgb="FFFFFFFF"/>
        <rFont val="Arial"/>
        <family val="0"/>
        <charset val="1"/>
      </rPr>
      <t xml:space="preserve">(Notes)</t>
    </r>
  </si>
  <si>
    <t xml:space="preserve">공정 풀네임</t>
  </si>
  <si>
    <t xml:space="preserve">Chemical Vapor Deposition</t>
  </si>
  <si>
    <t xml:space="preserve">Physical Vapor Deposition</t>
  </si>
  <si>
    <t xml:space="preserve">Atomic Layer Deposition</t>
  </si>
  <si>
    <r>
      <rPr>
        <sz val="10"/>
        <color rgb="FF000000"/>
        <rFont val="Noto Sans CJK SC"/>
        <family val="2"/>
      </rPr>
      <t xml:space="preserve">기상 증착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물리 증착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원자층 증착</t>
    </r>
  </si>
  <si>
    <t xml:space="preserve">증착 원리</t>
  </si>
  <si>
    <t xml:space="preserve">기체 화학반응으로 박막 형성</t>
  </si>
  <si>
    <r>
      <rPr>
        <sz val="10"/>
        <color rgb="FF000000"/>
        <rFont val="Noto Sans CJK SC"/>
        <family val="2"/>
      </rPr>
      <t xml:space="preserve">타겟 원자를 물리적으로 증발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스퍼터</t>
    </r>
  </si>
  <si>
    <t xml:space="preserve">전구체 자가제한 표면반응 반복</t>
  </si>
  <si>
    <r>
      <rPr>
        <sz val="10"/>
        <color rgb="FF000000"/>
        <rFont val="Arial"/>
        <family val="0"/>
        <charset val="1"/>
      </rPr>
      <t xml:space="preserve">CVD/ALD: </t>
    </r>
    <r>
      <rPr>
        <sz val="10"/>
        <color rgb="FF000000"/>
        <rFont val="Noto Sans CJK SC"/>
        <family val="2"/>
      </rPr>
      <t xml:space="preserve">화학 </t>
    </r>
    <r>
      <rPr>
        <sz val="10"/>
        <color rgb="FF000000"/>
        <rFont val="Arial"/>
        <family val="0"/>
        <charset val="1"/>
      </rPr>
      <t xml:space="preserve">/ PVD: </t>
    </r>
    <r>
      <rPr>
        <sz val="10"/>
        <color rgb="FF000000"/>
        <rFont val="Noto Sans CJK SC"/>
        <family val="2"/>
      </rPr>
      <t xml:space="preserve">물리</t>
    </r>
  </si>
  <si>
    <r>
      <rPr>
        <b val="true"/>
        <sz val="10"/>
        <color rgb="FF000000"/>
        <rFont val="Noto Sans CJK SC"/>
        <family val="2"/>
      </rPr>
      <t xml:space="preserve">온도 </t>
    </r>
    <r>
      <rPr>
        <b val="true"/>
        <sz val="10"/>
        <color rgb="FF000000"/>
        <rFont val="Arial"/>
        <family val="0"/>
        <charset val="1"/>
      </rPr>
      <t xml:space="preserve">(Temperature)</t>
    </r>
  </si>
  <si>
    <t xml:space="preserve">300 ~ 1100 °C</t>
  </si>
  <si>
    <t xml:space="preserve">25 ~ 500 °C</t>
  </si>
  <si>
    <t xml:space="preserve">100 ~ 350 °C</t>
  </si>
  <si>
    <r>
      <rPr>
        <sz val="10"/>
        <color rgb="FF000000"/>
        <rFont val="Arial"/>
        <family val="0"/>
        <charset val="1"/>
      </rPr>
      <t xml:space="preserve">ALD</t>
    </r>
    <r>
      <rPr>
        <sz val="10"/>
        <color rgb="FF000000"/>
        <rFont val="Noto Sans CJK SC"/>
        <family val="2"/>
      </rPr>
      <t xml:space="preserve">가 저온 공정에 가장 유리</t>
    </r>
  </si>
  <si>
    <r>
      <rPr>
        <b val="true"/>
        <sz val="10"/>
        <color rgb="FF000000"/>
        <rFont val="Noto Sans CJK SC"/>
        <family val="2"/>
      </rPr>
      <t xml:space="preserve">압력 </t>
    </r>
    <r>
      <rPr>
        <b val="true"/>
        <sz val="10"/>
        <color rgb="FF000000"/>
        <rFont val="Arial"/>
        <family val="0"/>
        <charset val="1"/>
      </rPr>
      <t xml:space="preserve">(Pressure)</t>
    </r>
  </si>
  <si>
    <t xml:space="preserve">0.1 ~ 760 Torr</t>
  </si>
  <si>
    <r>
      <rPr>
        <sz val="10"/>
        <color rgb="FF000000"/>
        <rFont val="Arial"/>
        <family val="0"/>
        <charset val="1"/>
      </rPr>
      <t xml:space="preserve">10⁻⁶ ~ 10⁻³ Torr (</t>
    </r>
    <r>
      <rPr>
        <sz val="10"/>
        <color rgb="FF000000"/>
        <rFont val="Noto Sans CJK SC"/>
        <family val="2"/>
      </rPr>
      <t xml:space="preserve">고진공</t>
    </r>
    <r>
      <rPr>
        <sz val="10"/>
        <color rgb="FF000000"/>
        <rFont val="Arial"/>
        <family val="0"/>
        <charset val="1"/>
      </rPr>
      <t xml:space="preserve">)</t>
    </r>
  </si>
  <si>
    <t xml:space="preserve">0.1 ~ 10 Torr</t>
  </si>
  <si>
    <r>
      <rPr>
        <sz val="10"/>
        <color rgb="FF000000"/>
        <rFont val="Arial"/>
        <family val="0"/>
        <charset val="1"/>
      </rPr>
      <t xml:space="preserve">PVD</t>
    </r>
    <r>
      <rPr>
        <sz val="10"/>
        <color rgb="FF000000"/>
        <rFont val="Noto Sans CJK SC"/>
        <family val="2"/>
      </rPr>
      <t xml:space="preserve">는 고진공 필수</t>
    </r>
  </si>
  <si>
    <r>
      <rPr>
        <b val="true"/>
        <sz val="10"/>
        <color rgb="FF000000"/>
        <rFont val="Noto Sans CJK SC"/>
        <family val="2"/>
      </rPr>
      <t xml:space="preserve">증착 속도 </t>
    </r>
    <r>
      <rPr>
        <b val="true"/>
        <sz val="10"/>
        <color rgb="FF000000"/>
        <rFont val="Arial"/>
        <family val="0"/>
        <charset val="1"/>
      </rPr>
      <t xml:space="preserve">(Rate)</t>
    </r>
  </si>
  <si>
    <t xml:space="preserve">100 ~ 1,000 nm/min</t>
  </si>
  <si>
    <t xml:space="preserve">10 ~ 100 nm/min</t>
  </si>
  <si>
    <t xml:space="preserve">0.1 ~ 1 nm/cycle</t>
  </si>
  <si>
    <r>
      <rPr>
        <sz val="10"/>
        <color rgb="FF000000"/>
        <rFont val="Arial"/>
        <family val="0"/>
        <charset val="1"/>
      </rPr>
      <t xml:space="preserve">CVD </t>
    </r>
    <r>
      <rPr>
        <sz val="10"/>
        <color rgb="FF000000"/>
        <rFont val="Noto Sans CJK SC"/>
        <family val="2"/>
      </rPr>
      <t xml:space="preserve">최고속</t>
    </r>
    <r>
      <rPr>
        <sz val="10"/>
        <color rgb="FF000000"/>
        <rFont val="Arial"/>
        <family val="0"/>
        <charset val="1"/>
      </rPr>
      <t xml:space="preserve">, ALD </t>
    </r>
    <r>
      <rPr>
        <sz val="10"/>
        <color rgb="FF000000"/>
        <rFont val="Noto Sans CJK SC"/>
        <family val="2"/>
      </rPr>
      <t xml:space="preserve">최저속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정밀</t>
    </r>
    <r>
      <rPr>
        <sz val="10"/>
        <color rgb="FF000000"/>
        <rFont val="Arial"/>
        <family val="0"/>
        <charset val="1"/>
      </rPr>
      <t xml:space="preserve">)</t>
    </r>
  </si>
  <si>
    <t xml:space="preserve">두께 균일도</t>
  </si>
  <si>
    <r>
      <rPr>
        <sz val="10"/>
        <color rgb="FF000000"/>
        <rFont val="Noto Sans CJK SC"/>
        <family val="2"/>
      </rPr>
      <t xml:space="preserve">양호 </t>
    </r>
    <r>
      <rPr>
        <sz val="10"/>
        <color rgb="FF000000"/>
        <rFont val="Arial"/>
        <family val="0"/>
        <charset val="1"/>
      </rPr>
      <t xml:space="preserve">(≤ 5%)</t>
    </r>
  </si>
  <si>
    <r>
      <rPr>
        <sz val="10"/>
        <color rgb="FF000000"/>
        <rFont val="Noto Sans CJK SC"/>
        <family val="2"/>
      </rPr>
      <t xml:space="preserve">양호 </t>
    </r>
    <r>
      <rPr>
        <sz val="10"/>
        <color rgb="FF000000"/>
        <rFont val="Arial"/>
        <family val="0"/>
        <charset val="1"/>
      </rPr>
      <t xml:space="preserve">(≤ 3%)</t>
    </r>
  </si>
  <si>
    <r>
      <rPr>
        <sz val="10"/>
        <color rgb="FF000000"/>
        <rFont val="Noto Sans CJK SC"/>
        <family val="2"/>
      </rPr>
      <t xml:space="preserve">탁월 </t>
    </r>
    <r>
      <rPr>
        <sz val="10"/>
        <color rgb="FF000000"/>
        <rFont val="Arial"/>
        <family val="0"/>
        <charset val="1"/>
      </rPr>
      <t xml:space="preserve">(≤ 1%)</t>
    </r>
  </si>
  <si>
    <r>
      <rPr>
        <sz val="10"/>
        <color rgb="FF000000"/>
        <rFont val="Arial"/>
        <family val="0"/>
        <charset val="1"/>
      </rPr>
      <t xml:space="preserve">ALD</t>
    </r>
    <r>
      <rPr>
        <sz val="10"/>
        <color rgb="FF000000"/>
        <rFont val="Noto Sans CJK SC"/>
        <family val="2"/>
      </rPr>
      <t xml:space="preserve">가 고종횡비 구조에서 우수</t>
    </r>
  </si>
  <si>
    <r>
      <rPr>
        <b val="true"/>
        <sz val="10"/>
        <color rgb="FF000000"/>
        <rFont val="Noto Sans CJK SC"/>
        <family val="2"/>
      </rPr>
      <t xml:space="preserve">단차 도포성 </t>
    </r>
    <r>
      <rPr>
        <b val="true"/>
        <sz val="10"/>
        <color rgb="FF000000"/>
        <rFont val="Arial"/>
        <family val="0"/>
        <charset val="1"/>
      </rPr>
      <t xml:space="preserve">(Step Coverage)</t>
    </r>
  </si>
  <si>
    <r>
      <rPr>
        <sz val="10"/>
        <color rgb="FF000000"/>
        <rFont val="Noto Sans CJK SC"/>
        <family val="2"/>
      </rPr>
      <t xml:space="preserve">양호 </t>
    </r>
    <r>
      <rPr>
        <sz val="10"/>
        <color rgb="FF000000"/>
        <rFont val="Arial"/>
        <family val="0"/>
        <charset val="1"/>
      </rPr>
      <t xml:space="preserve">(Conformal CVD)</t>
    </r>
  </si>
  <si>
    <r>
      <rPr>
        <sz val="10"/>
        <color rgb="FF000000"/>
        <rFont val="Noto Sans CJK SC"/>
        <family val="2"/>
      </rPr>
      <t xml:space="preserve">취약 </t>
    </r>
    <r>
      <rPr>
        <sz val="10"/>
        <color rgb="FF000000"/>
        <rFont val="Arial"/>
        <family val="0"/>
        <charset val="1"/>
      </rPr>
      <t xml:space="preserve">(Line-of-sight)</t>
    </r>
  </si>
  <si>
    <r>
      <rPr>
        <sz val="10"/>
        <color rgb="FF000000"/>
        <rFont val="Noto Sans CJK SC"/>
        <family val="2"/>
      </rPr>
      <t xml:space="preserve">탁월 </t>
    </r>
    <r>
      <rPr>
        <sz val="10"/>
        <color rgb="FF000000"/>
        <rFont val="Arial"/>
        <family val="0"/>
        <charset val="1"/>
      </rPr>
      <t xml:space="preserve">(100% Conformal)</t>
    </r>
  </si>
  <si>
    <r>
      <rPr>
        <sz val="10"/>
        <color rgb="FF000000"/>
        <rFont val="Arial"/>
        <family val="0"/>
        <charset val="1"/>
      </rPr>
      <t xml:space="preserve">ALD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구조물에 압도적 우위</t>
    </r>
  </si>
  <si>
    <t xml:space="preserve">주요 박막 재료</t>
  </si>
  <si>
    <t xml:space="preserve">SiO₂, Si₃N₄, poly-Si, W</t>
  </si>
  <si>
    <t xml:space="preserve">Al, Cu, Ti, TiN, Ta</t>
  </si>
  <si>
    <t xml:space="preserve">Al₂O₃, HfO₂, TiN, Ru</t>
  </si>
  <si>
    <r>
      <rPr>
        <sz val="10"/>
        <color rgb="FF000000"/>
        <rFont val="Arial"/>
        <family val="0"/>
        <charset val="1"/>
      </rPr>
      <t xml:space="preserve">ALD: high-k </t>
    </r>
    <r>
      <rPr>
        <sz val="10"/>
        <color rgb="FF000000"/>
        <rFont val="Noto Sans CJK SC"/>
        <family val="2"/>
      </rPr>
      <t xml:space="preserve">게이트 산화막 핵심</t>
    </r>
  </si>
  <si>
    <r>
      <rPr>
        <b val="true"/>
        <sz val="10"/>
        <color rgb="FF000000"/>
        <rFont val="Noto Sans CJK SC"/>
        <family val="2"/>
      </rPr>
      <t xml:space="preserve">주요 용도 </t>
    </r>
    <r>
      <rPr>
        <b val="true"/>
        <sz val="10"/>
        <color rgb="FF000000"/>
        <rFont val="Arial"/>
        <family val="0"/>
        <charset val="1"/>
      </rPr>
      <t xml:space="preserve">(Application)</t>
    </r>
  </si>
  <si>
    <r>
      <rPr>
        <sz val="10"/>
        <color rgb="FF000000"/>
        <rFont val="Noto Sans CJK SC"/>
        <family val="2"/>
      </rPr>
      <t xml:space="preserve">절연막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확산방지막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게이트</t>
    </r>
  </si>
  <si>
    <r>
      <rPr>
        <sz val="10"/>
        <color rgb="FF000000"/>
        <rFont val="Noto Sans CJK SC"/>
        <family val="2"/>
      </rPr>
      <t xml:space="preserve">금속 배선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반사층</t>
    </r>
  </si>
  <si>
    <r>
      <rPr>
        <sz val="10"/>
        <color rgb="FF000000"/>
        <rFont val="Arial"/>
        <family val="0"/>
        <charset val="1"/>
      </rPr>
      <t xml:space="preserve">high-k </t>
    </r>
    <r>
      <rPr>
        <sz val="10"/>
        <color rgb="FF000000"/>
        <rFont val="Noto Sans CJK SC"/>
        <family val="2"/>
      </rPr>
      <t xml:space="preserve">게이트</t>
    </r>
    <r>
      <rPr>
        <sz val="10"/>
        <color rgb="FF000000"/>
        <rFont val="Arial"/>
        <family val="0"/>
        <charset val="1"/>
      </rPr>
      <t xml:space="preserve">·DRAM </t>
    </r>
    <r>
      <rPr>
        <sz val="10"/>
        <color rgb="FF000000"/>
        <rFont val="Noto Sans CJK SC"/>
        <family val="2"/>
      </rPr>
      <t xml:space="preserve">캐패시터</t>
    </r>
    <r>
      <rPr>
        <sz val="10"/>
        <color rgb="FF000000"/>
        <rFont val="Arial"/>
        <family val="0"/>
        <charset val="1"/>
      </rPr>
      <t xml:space="preserve">·FinFET</t>
    </r>
  </si>
  <si>
    <t xml:space="preserve">노드별 적용 영역 구분</t>
  </si>
  <si>
    <t xml:space="preserve">적용 노드</t>
  </si>
  <si>
    <t xml:space="preserve">전 노드 공통</t>
  </si>
  <si>
    <r>
      <rPr>
        <sz val="10"/>
        <color rgb="FF000000"/>
        <rFont val="Arial"/>
        <family val="0"/>
        <charset val="1"/>
      </rPr>
      <t xml:space="preserve">28nm </t>
    </r>
    <r>
      <rPr>
        <sz val="10"/>
        <color rgb="FF000000"/>
        <rFont val="Noto Sans CJK SC"/>
        <family val="2"/>
      </rPr>
      <t xml:space="preserve">이하 필수</t>
    </r>
  </si>
  <si>
    <r>
      <rPr>
        <sz val="10"/>
        <color rgb="FF000000"/>
        <rFont val="Arial"/>
        <family val="0"/>
        <charset val="1"/>
      </rPr>
      <t xml:space="preserve">EUV </t>
    </r>
    <r>
      <rPr>
        <sz val="10"/>
        <color rgb="FF000000"/>
        <rFont val="Noto Sans CJK SC"/>
        <family val="2"/>
      </rPr>
      <t xml:space="preserve">시대의 핵심 공정</t>
    </r>
  </si>
  <si>
    <t xml:space="preserve">장단점 요약</t>
  </si>
  <si>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고속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우수한 막질 </t>
    </r>
    <r>
      <rPr>
        <sz val="10"/>
        <color rgb="FF000000"/>
        <rFont val="Arial"/>
        <family val="0"/>
        <charset val="1"/>
      </rPr>
      <t xml:space="preserve">/ − </t>
    </r>
    <r>
      <rPr>
        <sz val="10"/>
        <color rgb="FF000000"/>
        <rFont val="Noto Sans CJK SC"/>
        <family val="2"/>
      </rPr>
      <t xml:space="preserve">고온</t>
    </r>
  </si>
  <si>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단순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저온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금속 </t>
    </r>
    <r>
      <rPr>
        <sz val="10"/>
        <color rgb="FF000000"/>
        <rFont val="Arial"/>
        <family val="0"/>
        <charset val="1"/>
      </rPr>
      <t xml:space="preserve">OK / − </t>
    </r>
    <r>
      <rPr>
        <sz val="10"/>
        <color rgb="FF000000"/>
        <rFont val="Noto Sans CJK SC"/>
        <family val="2"/>
      </rPr>
      <t xml:space="preserve">단차 약함</t>
    </r>
  </si>
  <si>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정밀</t>
    </r>
    <r>
      <rPr>
        <sz val="10"/>
        <color rgb="FF000000"/>
        <rFont val="Arial"/>
        <family val="0"/>
        <charset val="1"/>
      </rPr>
      <t xml:space="preserve">·conformal / − </t>
    </r>
    <r>
      <rPr>
        <sz val="10"/>
        <color rgb="FF000000"/>
        <rFont val="Noto Sans CJK SC"/>
        <family val="2"/>
      </rPr>
      <t xml:space="preserve">매우 느림</t>
    </r>
  </si>
  <si>
    <t xml:space="preserve">공정 목적에 따라 선택</t>
  </si>
  <si>
    <r>
      <rPr>
        <b val="true"/>
        <sz val="12"/>
        <color rgb="FFFFFFFF"/>
        <rFont val="Arial"/>
        <family val="0"/>
        <charset val="1"/>
      </rPr>
      <t xml:space="preserve">💰  Section 2.  </t>
    </r>
    <r>
      <rPr>
        <b val="true"/>
        <sz val="12"/>
        <color rgb="FFFFFFFF"/>
        <rFont val="Noto Sans CJK SC"/>
        <family val="2"/>
      </rPr>
      <t xml:space="preserve">공정 장비 견적 — 수량 </t>
    </r>
    <r>
      <rPr>
        <b val="true"/>
        <sz val="12"/>
        <color rgb="FFFFFFFF"/>
        <rFont val="Arial"/>
        <family val="0"/>
        <charset val="1"/>
      </rPr>
      <t xml:space="preserve">· </t>
    </r>
    <r>
      <rPr>
        <b val="true"/>
        <sz val="12"/>
        <color rgb="FFFFFFFF"/>
        <rFont val="Noto Sans CJK SC"/>
        <family val="2"/>
      </rPr>
      <t xml:space="preserve">단가 </t>
    </r>
    <r>
      <rPr>
        <b val="true"/>
        <sz val="12"/>
        <color rgb="FFFFFFFF"/>
        <rFont val="Arial"/>
        <family val="0"/>
        <charset val="1"/>
      </rPr>
      <t xml:space="preserve">· </t>
    </r>
    <r>
      <rPr>
        <b val="true"/>
        <sz val="12"/>
        <color rgb="FFFFFFFF"/>
        <rFont val="Noto Sans CJK SC"/>
        <family val="2"/>
      </rPr>
      <t xml:space="preserve">합계</t>
    </r>
  </si>
  <si>
    <r>
      <rPr>
        <b val="true"/>
        <sz val="11"/>
        <color rgb="FFFFFFFF"/>
        <rFont val="Noto Sans CJK SC"/>
        <family val="2"/>
      </rPr>
      <t xml:space="preserve">공정 </t>
    </r>
    <r>
      <rPr>
        <b val="true"/>
        <sz val="11"/>
        <color rgb="FFFFFFFF"/>
        <rFont val="Arial"/>
        <family val="0"/>
        <charset val="1"/>
      </rPr>
      <t xml:space="preserve">(Process)</t>
    </r>
  </si>
  <si>
    <r>
      <rPr>
        <b val="true"/>
        <sz val="11"/>
        <color rgb="FFFFFFFF"/>
        <rFont val="Noto Sans CJK SC"/>
        <family val="2"/>
      </rPr>
      <t xml:space="preserve">장비 모델 </t>
    </r>
    <r>
      <rPr>
        <b val="true"/>
        <sz val="11"/>
        <color rgb="FFFFFFFF"/>
        <rFont val="Arial"/>
        <family val="0"/>
        <charset val="1"/>
      </rPr>
      <t xml:space="preserve">(Model)</t>
    </r>
  </si>
  <si>
    <r>
      <rPr>
        <b val="true"/>
        <sz val="11"/>
        <color rgb="FFFFFFFF"/>
        <rFont val="Noto Sans CJK SC"/>
        <family val="2"/>
      </rPr>
      <t xml:space="preserve">수량 </t>
    </r>
    <r>
      <rPr>
        <b val="true"/>
        <sz val="11"/>
        <color rgb="FFFFFFFF"/>
        <rFont val="Arial"/>
        <family val="0"/>
        <charset val="1"/>
      </rPr>
      <t xml:space="preserve">(Qty)</t>
    </r>
  </si>
  <si>
    <r>
      <rPr>
        <b val="true"/>
        <sz val="11"/>
        <color rgb="FFFFFFFF"/>
        <rFont val="Noto Sans CJK SC"/>
        <family val="2"/>
      </rPr>
      <t xml:space="preserve">단가 </t>
    </r>
    <r>
      <rPr>
        <b val="true"/>
        <sz val="11"/>
        <color rgb="FFFFFFFF"/>
        <rFont val="Arial"/>
        <family val="0"/>
        <charset val="1"/>
      </rPr>
      <t xml:space="preserve">($M)</t>
    </r>
  </si>
  <si>
    <r>
      <rPr>
        <b val="true"/>
        <sz val="11"/>
        <color rgb="FFFFFFFF"/>
        <rFont val="Noto Sans CJK SC"/>
        <family val="2"/>
      </rPr>
      <t xml:space="preserve">합계 </t>
    </r>
    <r>
      <rPr>
        <b val="true"/>
        <sz val="11"/>
        <color rgb="FFFFFFFF"/>
        <rFont val="Arial"/>
        <family val="0"/>
        <charset val="1"/>
      </rPr>
      <t xml:space="preserve">($M)</t>
    </r>
  </si>
  <si>
    <t xml:space="preserve">AMAT Producer GT</t>
  </si>
  <si>
    <t xml:space="preserve">TEL Trias SPA</t>
  </si>
  <si>
    <t xml:space="preserve">AMAT Endura PVD</t>
  </si>
  <si>
    <t xml:space="preserve">Lam Versys Metal</t>
  </si>
  <si>
    <t xml:space="preserve">ASM Pulsar XP</t>
  </si>
  <si>
    <t xml:space="preserve">Lam Striker ALD</t>
  </si>
  <si>
    <r>
      <rPr>
        <b val="true"/>
        <sz val="11"/>
        <color rgb="FF1F3864"/>
        <rFont val="Noto Sans CJK SC"/>
        <family val="2"/>
      </rPr>
      <t xml:space="preserve">📌 총 합계 </t>
    </r>
    <r>
      <rPr>
        <b val="true"/>
        <sz val="11"/>
        <color rgb="FF1F3864"/>
        <rFont val="Arial"/>
        <family val="0"/>
        <charset val="1"/>
      </rPr>
      <t xml:space="preserve">(Grand Total)</t>
    </r>
  </si>
  <si>
    <r>
      <rPr>
        <b val="true"/>
        <sz val="11"/>
        <color rgb="FFFFFFFF"/>
        <rFont val="Noto Sans CJK SC"/>
        <family val="2"/>
      </rPr>
      <t xml:space="preserve">📈  공정별 소계 </t>
    </r>
    <r>
      <rPr>
        <b val="true"/>
        <sz val="11"/>
        <color rgb="FFFFFFFF"/>
        <rFont val="Arial"/>
        <family val="0"/>
        <charset val="1"/>
      </rPr>
      <t xml:space="preserve">(Subtotal by Process)</t>
    </r>
  </si>
  <si>
    <t xml:space="preserve">공정</t>
  </si>
  <si>
    <t xml:space="preserve">장비 수량</t>
  </si>
  <si>
    <t xml:space="preserve">총 투자액</t>
  </si>
  <si>
    <r>
      <rPr>
        <b val="true"/>
        <sz val="10"/>
        <color rgb="FFFFFFFF"/>
        <rFont val="Noto Sans CJK SC"/>
        <family val="2"/>
      </rPr>
      <t xml:space="preserve">비중 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</si>
  <si>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비고</t>
  </si>
  <si>
    <t xml:space="preserve">기상 화학 증착</t>
  </si>
  <si>
    <t xml:space="preserve">물리 기상 증착</t>
  </si>
  <si>
    <t xml:space="preserve">원자층 증착</t>
  </si>
  <si>
    <t xml:space="preserve">🎨  컬러 가이드</t>
  </si>
  <si>
    <t xml:space="preserve">파란색 글자</t>
  </si>
  <si>
    <r>
      <rPr>
        <sz val="9"/>
        <color rgb="FF595959"/>
        <rFont val="Noto Sans CJK SC"/>
        <family val="2"/>
      </rPr>
      <t xml:space="preserve">입력값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수량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단가</t>
    </r>
    <r>
      <rPr>
        <sz val="9"/>
        <color rgb="FF595959"/>
        <rFont val="Arial"/>
        <family val="0"/>
        <charset val="1"/>
      </rPr>
      <t xml:space="preserve">) — </t>
    </r>
    <r>
      <rPr>
        <sz val="9"/>
        <color rgb="FF595959"/>
        <rFont val="Noto Sans CJK SC"/>
        <family val="2"/>
      </rPr>
      <t xml:space="preserve">직접 수정 가능</t>
    </r>
  </si>
  <si>
    <t xml:space="preserve">검정색 글자</t>
  </si>
  <si>
    <t xml:space="preserve">수식 계산 결과 — 자동 갱신</t>
  </si>
  <si>
    <t xml:space="preserve">노란 배경</t>
  </si>
  <si>
    <r>
      <rPr>
        <sz val="9"/>
        <color rgb="FF595959"/>
        <rFont val="Noto Sans CJK SC"/>
        <family val="2"/>
      </rPr>
      <t xml:space="preserve">단가 입력 셀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시나리오 변경</t>
    </r>
    <r>
      <rPr>
        <sz val="9"/>
        <color rgb="FF595959"/>
        <rFont val="Arial"/>
        <family val="0"/>
        <charset val="1"/>
      </rPr>
      <t xml:space="preserve">)</t>
    </r>
  </si>
  <si>
    <t xml:space="preserve">녹색 배경</t>
  </si>
  <si>
    <r>
      <rPr>
        <sz val="9"/>
        <color rgb="FF595959"/>
        <rFont val="Noto Sans CJK SC"/>
        <family val="2"/>
      </rPr>
      <t xml:space="preserve">합계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소계 강조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</si>
</sst>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\M"/>
    <numFmt numFmtId="167" formatCode="&quot;avg $&quot;#,##0.00\M"/>
    <numFmt numFmtId="168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i val="true"/>
      <sz val="10"/>
      <color rgb="FFFFFFFF"/>
      <name val="Arial"/>
      <family val="0"/>
      <charset val="1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9"/>
      <color rgb="FF0000FF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9"/>
      <color rgb="FF00000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3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2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</row>
    <row r="5" customFormat="false" ht="25.5" hidden="false" customHeight="true" outlineLevel="0" collapsed="false">
      <c r="B5" s="3" t="s">
        <v>2</v>
      </c>
      <c r="C5" s="3"/>
      <c r="D5" s="3"/>
      <c r="E5" s="3"/>
      <c r="F5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</row>
    <row r="8" customFormat="false" ht="25.5" hidden="false" customHeight="true" outlineLevel="0" collapsed="false">
      <c r="B8" s="5" t="s">
        <v>4</v>
      </c>
      <c r="C8" s="5"/>
      <c r="D8" s="5"/>
      <c r="E8" s="5"/>
      <c r="F8" s="5"/>
    </row>
    <row r="9" customFormat="false" ht="31.5" hidden="false" customHeight="true" outlineLevel="0" collapsed="false">
      <c r="B9" s="6" t="s">
        <v>5</v>
      </c>
      <c r="C9" s="7" t="s">
        <v>6</v>
      </c>
      <c r="D9" s="7" t="s">
        <v>7</v>
      </c>
      <c r="E9" s="7" t="s">
        <v>8</v>
      </c>
      <c r="F9" s="6" t="s">
        <v>9</v>
      </c>
    </row>
    <row r="10" customFormat="false" ht="30" hidden="false" customHeight="true" outlineLevel="0" collapsed="false">
      <c r="B10" s="8" t="s">
        <v>10</v>
      </c>
      <c r="C10" s="9" t="s">
        <v>11</v>
      </c>
      <c r="D10" s="9" t="s">
        <v>12</v>
      </c>
      <c r="E10" s="9" t="s">
        <v>13</v>
      </c>
      <c r="F10" s="10" t="s">
        <v>14</v>
      </c>
    </row>
    <row r="11" customFormat="false" ht="30" hidden="false" customHeight="true" outlineLevel="0" collapsed="false">
      <c r="B11" s="8" t="s">
        <v>15</v>
      </c>
      <c r="C11" s="11" t="s">
        <v>16</v>
      </c>
      <c r="D11" s="11" t="s">
        <v>17</v>
      </c>
      <c r="E11" s="11" t="s">
        <v>18</v>
      </c>
      <c r="F11" s="12" t="s">
        <v>19</v>
      </c>
    </row>
    <row r="12" customFormat="false" ht="30" hidden="false" customHeight="true" outlineLevel="0" collapsed="false">
      <c r="B12" s="8" t="s">
        <v>20</v>
      </c>
      <c r="C12" s="9" t="s">
        <v>21</v>
      </c>
      <c r="D12" s="9" t="s">
        <v>22</v>
      </c>
      <c r="E12" s="9" t="s">
        <v>23</v>
      </c>
      <c r="F12" s="9" t="s">
        <v>24</v>
      </c>
    </row>
    <row r="13" customFormat="false" ht="30" hidden="false" customHeight="true" outlineLevel="0" collapsed="false">
      <c r="B13" s="8" t="s">
        <v>25</v>
      </c>
      <c r="C13" s="12" t="s">
        <v>26</v>
      </c>
      <c r="D13" s="12" t="s">
        <v>27</v>
      </c>
      <c r="E13" s="12" t="s">
        <v>28</v>
      </c>
      <c r="F13" s="12" t="s">
        <v>29</v>
      </c>
    </row>
    <row r="14" customFormat="false" ht="30" hidden="false" customHeight="true" outlineLevel="0" collapsed="false">
      <c r="B14" s="8" t="s">
        <v>30</v>
      </c>
      <c r="C14" s="9" t="s">
        <v>31</v>
      </c>
      <c r="D14" s="9" t="s">
        <v>32</v>
      </c>
      <c r="E14" s="9" t="s">
        <v>33</v>
      </c>
      <c r="F14" s="9" t="s">
        <v>34</v>
      </c>
    </row>
    <row r="15" customFormat="false" ht="30" hidden="false" customHeight="true" outlineLevel="0" collapsed="false">
      <c r="B15" s="8" t="s">
        <v>35</v>
      </c>
      <c r="C15" s="11" t="s">
        <v>36</v>
      </c>
      <c r="D15" s="11" t="s">
        <v>37</v>
      </c>
      <c r="E15" s="11" t="s">
        <v>38</v>
      </c>
      <c r="F15" s="12" t="s">
        <v>39</v>
      </c>
    </row>
    <row r="16" customFormat="false" ht="30" hidden="false" customHeight="true" outlineLevel="0" collapsed="false">
      <c r="B16" s="8" t="s">
        <v>40</v>
      </c>
      <c r="C16" s="10" t="s">
        <v>41</v>
      </c>
      <c r="D16" s="10" t="s">
        <v>42</v>
      </c>
      <c r="E16" s="10" t="s">
        <v>43</v>
      </c>
      <c r="F16" s="9" t="s">
        <v>44</v>
      </c>
    </row>
    <row r="17" customFormat="false" ht="30" hidden="false" customHeight="true" outlineLevel="0" collapsed="false">
      <c r="B17" s="8" t="s">
        <v>45</v>
      </c>
      <c r="C17" s="12" t="s">
        <v>46</v>
      </c>
      <c r="D17" s="12" t="s">
        <v>47</v>
      </c>
      <c r="E17" s="12" t="s">
        <v>48</v>
      </c>
      <c r="F17" s="12" t="s">
        <v>49</v>
      </c>
    </row>
    <row r="18" customFormat="false" ht="30" hidden="false" customHeight="true" outlineLevel="0" collapsed="false">
      <c r="B18" s="8" t="s">
        <v>50</v>
      </c>
      <c r="C18" s="10" t="s">
        <v>51</v>
      </c>
      <c r="D18" s="10" t="s">
        <v>52</v>
      </c>
      <c r="E18" s="9" t="s">
        <v>53</v>
      </c>
      <c r="F18" s="10" t="s">
        <v>54</v>
      </c>
    </row>
    <row r="19" customFormat="false" ht="30" hidden="false" customHeight="true" outlineLevel="0" collapsed="false">
      <c r="B19" s="8" t="s">
        <v>55</v>
      </c>
      <c r="C19" s="11" t="s">
        <v>56</v>
      </c>
      <c r="D19" s="11" t="s">
        <v>56</v>
      </c>
      <c r="E19" s="12" t="s">
        <v>57</v>
      </c>
      <c r="F19" s="12" t="s">
        <v>58</v>
      </c>
    </row>
    <row r="20" customFormat="false" ht="30" hidden="false" customHeight="true" outlineLevel="0" collapsed="false">
      <c r="B20" s="8" t="s">
        <v>59</v>
      </c>
      <c r="C20" s="9" t="s">
        <v>60</v>
      </c>
      <c r="D20" s="9" t="s">
        <v>61</v>
      </c>
      <c r="E20" s="9" t="s">
        <v>62</v>
      </c>
      <c r="F20" s="10" t="s">
        <v>63</v>
      </c>
    </row>
    <row r="23" customFormat="false" ht="25.5" hidden="false" customHeight="true" outlineLevel="0" collapsed="false">
      <c r="B23" s="5" t="s">
        <v>64</v>
      </c>
      <c r="C23" s="5"/>
      <c r="D23" s="5"/>
      <c r="E23" s="5"/>
      <c r="F23" s="5"/>
    </row>
    <row r="24" customFormat="false" ht="31.5" hidden="false" customHeight="true" outlineLevel="0" collapsed="false">
      <c r="B24" s="6" t="s">
        <v>65</v>
      </c>
      <c r="C24" s="6" t="s">
        <v>66</v>
      </c>
      <c r="D24" s="6" t="s">
        <v>67</v>
      </c>
      <c r="E24" s="6" t="s">
        <v>68</v>
      </c>
      <c r="F24" s="6" t="s">
        <v>69</v>
      </c>
    </row>
    <row r="25" customFormat="false" ht="24" hidden="false" customHeight="true" outlineLevel="0" collapsed="false">
      <c r="B25" s="13" t="s">
        <v>6</v>
      </c>
      <c r="C25" s="14" t="s">
        <v>70</v>
      </c>
      <c r="D25" s="15" t="n">
        <v>2</v>
      </c>
      <c r="E25" s="16" t="n">
        <v>8.5</v>
      </c>
      <c r="F25" s="17" t="n">
        <f aca="false">D25*E25</f>
        <v>17</v>
      </c>
    </row>
    <row r="26" customFormat="false" ht="24" hidden="false" customHeight="true" outlineLevel="0" collapsed="false">
      <c r="B26" s="13" t="s">
        <v>6</v>
      </c>
      <c r="C26" s="14" t="s">
        <v>71</v>
      </c>
      <c r="D26" s="15" t="n">
        <v>1</v>
      </c>
      <c r="E26" s="16" t="n">
        <v>6.2</v>
      </c>
      <c r="F26" s="17" t="n">
        <f aca="false">D26*E26</f>
        <v>6.2</v>
      </c>
    </row>
    <row r="27" customFormat="false" ht="24" hidden="false" customHeight="true" outlineLevel="0" collapsed="false">
      <c r="B27" s="13" t="s">
        <v>7</v>
      </c>
      <c r="C27" s="14" t="s">
        <v>72</v>
      </c>
      <c r="D27" s="15" t="n">
        <v>3</v>
      </c>
      <c r="E27" s="16" t="n">
        <v>4.8</v>
      </c>
      <c r="F27" s="17" t="n">
        <f aca="false">D27*E27</f>
        <v>14.4</v>
      </c>
    </row>
    <row r="28" customFormat="false" ht="24" hidden="false" customHeight="true" outlineLevel="0" collapsed="false">
      <c r="B28" s="13" t="s">
        <v>7</v>
      </c>
      <c r="C28" s="14" t="s">
        <v>73</v>
      </c>
      <c r="D28" s="15" t="n">
        <v>2</v>
      </c>
      <c r="E28" s="16" t="n">
        <v>5.3</v>
      </c>
      <c r="F28" s="17" t="n">
        <f aca="false">D28*E28</f>
        <v>10.6</v>
      </c>
    </row>
    <row r="29" customFormat="false" ht="24" hidden="false" customHeight="true" outlineLevel="0" collapsed="false">
      <c r="B29" s="13" t="s">
        <v>8</v>
      </c>
      <c r="C29" s="14" t="s">
        <v>74</v>
      </c>
      <c r="D29" s="15" t="n">
        <v>4</v>
      </c>
      <c r="E29" s="16" t="n">
        <v>3.7</v>
      </c>
      <c r="F29" s="17" t="n">
        <f aca="false">D29*E29</f>
        <v>14.8</v>
      </c>
    </row>
    <row r="30" customFormat="false" ht="24" hidden="false" customHeight="true" outlineLevel="0" collapsed="false">
      <c r="B30" s="13" t="s">
        <v>8</v>
      </c>
      <c r="C30" s="14" t="s">
        <v>75</v>
      </c>
      <c r="D30" s="15" t="n">
        <v>2</v>
      </c>
      <c r="E30" s="16" t="n">
        <v>4.1</v>
      </c>
      <c r="F30" s="17" t="n">
        <f aca="false">D30*E30</f>
        <v>8.2</v>
      </c>
    </row>
    <row r="31" customFormat="false" ht="31.5" hidden="false" customHeight="true" outlineLevel="0" collapsed="false">
      <c r="B31" s="18" t="s">
        <v>76</v>
      </c>
      <c r="C31" s="18"/>
      <c r="D31" s="19" t="n">
        <f aca="false">SUM(D25:D30)</f>
        <v>14</v>
      </c>
      <c r="E31" s="20" t="n">
        <f aca="false">AVERAGE(E25:E30)</f>
        <v>5.43333333333333</v>
      </c>
      <c r="F31" s="21" t="n">
        <f aca="false">SUM(F25:F30)</f>
        <v>71.2</v>
      </c>
    </row>
    <row r="33" customFormat="false" ht="24" hidden="false" customHeight="true" outlineLevel="0" collapsed="false">
      <c r="B33" s="22" t="s">
        <v>77</v>
      </c>
      <c r="C33" s="22"/>
      <c r="D33" s="22"/>
      <c r="E33" s="22"/>
      <c r="F33" s="22"/>
    </row>
    <row r="34" customFormat="false" ht="24" hidden="false" customHeight="true" outlineLevel="0" collapsed="false">
      <c r="B34" s="23" t="s">
        <v>78</v>
      </c>
      <c r="C34" s="23" t="s">
        <v>79</v>
      </c>
      <c r="D34" s="23" t="s">
        <v>80</v>
      </c>
      <c r="E34" s="23" t="s">
        <v>81</v>
      </c>
      <c r="F34" s="23" t="s">
        <v>82</v>
      </c>
    </row>
    <row r="35" customFormat="false" ht="21.75" hidden="false" customHeight="true" outlineLevel="0" collapsed="false">
      <c r="B35" s="13" t="s">
        <v>6</v>
      </c>
      <c r="C35" s="24" t="n">
        <f aca="false">SUMIF($B$25:$B$30,"CVD",$D$25:$D$30)</f>
        <v>3</v>
      </c>
      <c r="D35" s="17" t="n">
        <f aca="false">SUMIF($B$25:$B$30,"CVD",$F$25:$F$30)</f>
        <v>23.2</v>
      </c>
      <c r="E35" s="25" t="n">
        <f aca="false">D35/$F$31</f>
        <v>0.325842696629213</v>
      </c>
      <c r="F35" s="26" t="s">
        <v>83</v>
      </c>
    </row>
    <row r="36" customFormat="false" ht="21.75" hidden="false" customHeight="true" outlineLevel="0" collapsed="false">
      <c r="B36" s="13" t="s">
        <v>7</v>
      </c>
      <c r="C36" s="24" t="n">
        <f aca="false">SUMIF($B$25:$B$30,"PVD",$D$25:$D$30)</f>
        <v>5</v>
      </c>
      <c r="D36" s="17" t="n">
        <f aca="false">SUMIF($B$25:$B$30,"PVD",$F$25:$F$30)</f>
        <v>25</v>
      </c>
      <c r="E36" s="25" t="n">
        <f aca="false">D36/$F$31</f>
        <v>0.351123595505618</v>
      </c>
      <c r="F36" s="26" t="s">
        <v>84</v>
      </c>
    </row>
    <row r="37" customFormat="false" ht="21.75" hidden="false" customHeight="true" outlineLevel="0" collapsed="false">
      <c r="B37" s="13" t="s">
        <v>8</v>
      </c>
      <c r="C37" s="24" t="n">
        <f aca="false">SUMIF($B$25:$B$30,"ALD",$D$25:$D$30)</f>
        <v>6</v>
      </c>
      <c r="D37" s="17" t="n">
        <f aca="false">SUMIF($B$25:$B$30,"ALD",$F$25:$F$30)</f>
        <v>23</v>
      </c>
      <c r="E37" s="25" t="n">
        <f aca="false">D37/$F$31</f>
        <v>0.323033707865169</v>
      </c>
      <c r="F37" s="26" t="s">
        <v>85</v>
      </c>
    </row>
    <row r="39" customFormat="false" ht="15" hidden="false" customHeight="false" outlineLevel="0" collapsed="false">
      <c r="B39" s="27" t="s">
        <v>86</v>
      </c>
      <c r="C39" s="27"/>
      <c r="D39" s="27"/>
      <c r="E39" s="27"/>
      <c r="F39" s="27"/>
    </row>
    <row r="40" customFormat="false" ht="19.5" hidden="false" customHeight="true" outlineLevel="0" collapsed="false">
      <c r="B40" s="28" t="s">
        <v>87</v>
      </c>
      <c r="C40" s="29" t="s">
        <v>88</v>
      </c>
      <c r="D40" s="29"/>
      <c r="E40" s="29"/>
      <c r="F40" s="29"/>
    </row>
    <row r="41" customFormat="false" ht="19.5" hidden="false" customHeight="true" outlineLevel="0" collapsed="false">
      <c r="B41" s="30" t="s">
        <v>89</v>
      </c>
      <c r="C41" s="29" t="s">
        <v>90</v>
      </c>
      <c r="D41" s="29"/>
      <c r="E41" s="29"/>
      <c r="F41" s="29"/>
    </row>
    <row r="42" customFormat="false" ht="19.5" hidden="false" customHeight="true" outlineLevel="0" collapsed="false">
      <c r="B42" s="31" t="s">
        <v>91</v>
      </c>
      <c r="C42" s="29" t="s">
        <v>92</v>
      </c>
      <c r="D42" s="29"/>
      <c r="E42" s="29"/>
      <c r="F42" s="29"/>
    </row>
    <row r="43" customFormat="false" ht="19.5" hidden="false" customHeight="true" outlineLevel="0" collapsed="false">
      <c r="B43" s="32" t="s">
        <v>93</v>
      </c>
      <c r="C43" s="29" t="s">
        <v>94</v>
      </c>
      <c r="D43" s="29"/>
      <c r="E43" s="29"/>
      <c r="F43" s="29"/>
    </row>
  </sheetData>
  <mergeCells count="13">
    <mergeCell ref="B2:F2"/>
    <mergeCell ref="B3:F3"/>
    <mergeCell ref="B5:F5"/>
    <mergeCell ref="B6:F6"/>
    <mergeCell ref="B8:F8"/>
    <mergeCell ref="B23:F23"/>
    <mergeCell ref="B31:C31"/>
    <mergeCell ref="B33:F33"/>
    <mergeCell ref="B39:F39"/>
    <mergeCell ref="C40:F40"/>
    <mergeCell ref="C41:F41"/>
    <mergeCell ref="C42:F42"/>
    <mergeCell ref="C43:F4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2026-04-26T09:12:05Z</dcterms:created>
  <dc:creator>openpyxl</dc:creator>
  <dc:description/>
  <dc:language>en-US</dc:language>
  <cp:lastModifiedBy/>
  <dcterms:modified xsi:type="dcterms:W3CDTF">2026-04-26T09:12:05Z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